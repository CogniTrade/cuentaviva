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ALCULADORA" sheetId="3" state="visible" r:id="rId3"/>
  </sheets>
  <definedNames>
    <definedName name="LINK_KIT">INICIO!$B$17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-&quot;$&quot;#,##0.00"/>
    <numFmt numFmtId="165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E8ECF1"/>
      <sz val="12"/>
    </font>
    <font>
      <name val="Calibri"/>
      <color rgb="00B42318"/>
      <sz val="10"/>
    </font>
    <font>
      <name val="Calibri"/>
      <b val="1"/>
      <color rgb="00E8ECF1"/>
      <sz val="10"/>
    </font>
    <font>
      <name val="Calibri"/>
      <b val="1"/>
      <color rgb="001B1F24"/>
      <sz val="11"/>
    </font>
    <font>
      <name val="Calibri"/>
      <i val="1"/>
      <color rgb="005B6573"/>
      <sz val="9"/>
    </font>
    <font>
      <name val="Calibri"/>
      <i val="1"/>
      <color rgb="005B6573"/>
      <sz val="10"/>
    </font>
    <font>
      <name val="Calibri"/>
      <b val="1"/>
      <color rgb="00E8ECF1"/>
      <sz val="18"/>
    </font>
    <font>
      <name val="Calibri"/>
      <color rgb="001B1F24"/>
      <sz val="11"/>
    </font>
    <font>
      <name val="Calibri"/>
      <b val="1"/>
      <color rgb="000E1116"/>
      <sz val="26"/>
    </font>
    <font>
      <name val="Calibri"/>
      <b val="1"/>
      <color rgb="00E8ECF1"/>
      <sz val="22"/>
    </font>
    <font>
      <name val="Calibri"/>
      <i val="1"/>
      <color rgb="000E7A4A"/>
      <sz val="13"/>
    </font>
    <font>
      <name val="Calibri"/>
      <b val="1"/>
      <color rgb="00B42318"/>
      <sz val="11"/>
    </font>
    <font>
      <name val="Calibri"/>
      <b val="1"/>
      <color rgb="000E7A4A"/>
      <sz val="11"/>
      <u val="single"/>
    </font>
  </fonts>
  <fills count="7">
    <fill>
      <patternFill/>
    </fill>
    <fill>
      <patternFill patternType="gray125"/>
    </fill>
    <fill>
      <patternFill patternType="solid">
        <fgColor rgb="001A2029"/>
      </patternFill>
    </fill>
    <fill>
      <patternFill patternType="solid">
        <fgColor rgb="00FFF4C2"/>
      </patternFill>
    </fill>
    <fill>
      <patternFill patternType="solid">
        <fgColor rgb="000E1116"/>
      </patternFill>
    </fill>
    <fill>
      <patternFill patternType="solid">
        <fgColor rgb="00EEF1F5"/>
      </patternFill>
    </fill>
    <fill>
      <patternFill patternType="solid">
        <fgColor rgb="00D0D5DD"/>
      </patternFill>
    </fill>
  </fills>
  <borders count="6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  <border>
      <left/>
      <right/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/>
      <diagonal/>
    </border>
    <border>
      <left/>
      <right/>
      <top style="thin">
        <color rgb="00C9CFD8"/>
      </top>
      <bottom style="thin">
        <color rgb="00C9CFD8"/>
      </bottom>
      <diagonal/>
    </border>
    <border>
      <left/>
      <right style="thin">
        <color rgb="00C9CFD8"/>
      </right>
      <top style="thin">
        <color rgb="00C9CFD8"/>
      </top>
      <bottom style="thin">
        <color rgb="00C9CFD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0" fillId="4" borderId="0" applyAlignment="1" pivotButton="0" quotePrefix="0" xfId="0">
      <alignment vertical="center" indent="1"/>
    </xf>
    <xf numFmtId="0" fontId="0" fillId="4" borderId="0" pivotButton="0" quotePrefix="0" xfId="0"/>
    <xf numFmtId="0" fontId="1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12" fillId="0" borderId="0" pivotButton="0" quotePrefix="0" xfId="0"/>
    <xf numFmtId="0" fontId="8" fillId="0" borderId="0" applyAlignment="1" pivotButton="0" quotePrefix="0" xfId="0">
      <alignment wrapText="1"/>
    </xf>
    <xf numFmtId="0" fontId="13" fillId="0" borderId="0" pivotButton="0" quotePrefix="0" xfId="0"/>
    <xf numFmtId="0" fontId="7" fillId="4" borderId="0" applyAlignment="1" pivotButton="0" quotePrefix="0" xfId="0">
      <alignment vertical="center" indent="1"/>
    </xf>
    <xf numFmtId="0" fontId="0" fillId="2" borderId="0" pivotButton="0" quotePrefix="0" xfId="0"/>
    <xf numFmtId="0" fontId="8" fillId="0" borderId="1" applyAlignment="1" pivotButton="0" quotePrefix="0" xfId="0">
      <alignment vertical="center" wrapText="1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top" wrapText="1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1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4" fillId="3" borderId="1" applyAlignment="1" applyProtection="1" pivotButton="0" quotePrefix="0" xfId="0">
      <alignment horizontal="center" vertical="center"/>
      <protection locked="0" hidden="0"/>
    </xf>
    <xf numFmtId="2" fontId="4" fillId="5" borderId="1" applyAlignment="1" pivotButton="0" quotePrefix="0" xfId="0">
      <alignment horizontal="center" vertical="center"/>
    </xf>
    <xf numFmtId="165" fontId="4" fillId="3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0">
      <alignment horizontal="center" vertical="center" wrapText="1"/>
    </xf>
    <xf numFmtId="10" fontId="8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1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4" fillId="3" borderId="1" applyAlignment="1" applyProtection="1" pivotButton="0" quotePrefix="0" xfId="0">
      <alignment vertical="center" wrapText="1"/>
      <protection locked="0" hidden="0"/>
    </xf>
    <xf numFmtId="0" fontId="4" fillId="5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0" fontId="6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0E1116"/>
      </font>
      <fill>
        <patternFill patternType="solid">
          <fgColor rgb="001FBF75"/>
          <bgColor rgb="001FBF75"/>
        </patternFill>
      </fill>
    </dxf>
    <dxf>
      <font>
        <name val="Calibri"/>
        <b val="1"/>
        <color rgb="000E1116"/>
      </font>
      <fill>
        <patternFill patternType="solid">
          <fgColor rgb="00F2A93B"/>
          <bgColor rgb="00F2A93B"/>
        </patternFill>
      </fill>
    </dxf>
    <dxf>
      <font>
        <name val="Calibri"/>
        <b val="1"/>
        <color rgb="000E1116"/>
      </font>
      <fill>
        <patternFill patternType="solid">
          <fgColor rgb="00E5484D"/>
          <bgColor rgb="00E548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gnitrade.github.io/cuentaviva/kit.html" TargetMode="External" Id="rId1"/></Relationships>
</file>

<file path=xl/worksheets/sheet1.xml><?xml version="1.0" encoding="utf-8"?>
<worksheet xmlns="http://schemas.openxmlformats.org/spreadsheetml/2006/main">
  <sheetPr>
    <tabColor rgb="001FBF75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44" customHeight="1">
      <c r="A1" s="1" t="inlineStr">
        <is>
          <t>CUENTA VIVA — Calculadora LITE (gratis)</t>
        </is>
      </c>
      <c r="B1" s="2" t="n"/>
    </row>
    <row r="2">
      <c r="B2" s="3" t="inlineStr">
        <is>
          <t>Mantén tu cuenta fondeada viva.</t>
        </is>
      </c>
    </row>
    <row r="4" ht="22" customHeight="1">
      <c r="B4" s="4" t="inlineStr">
        <is>
          <t>CÓMO USARLA</t>
        </is>
      </c>
    </row>
    <row r="5" ht="30" customHeight="1">
      <c r="B5" s="5" t="inlineStr">
        <is>
          <t>1. CONFIG: elige tu firma, balance inicial, fase, riesgo por operación e instrumento.</t>
        </is>
      </c>
    </row>
    <row r="6" ht="30" customHeight="1">
      <c r="B6" s="5" t="inlineStr">
        <is>
          <t>2. CALCULADORA: escribe tu equity actual, la referencia de inicio del día y (si es trailing) el pico.</t>
        </is>
      </c>
    </row>
    <row r="7" ht="30" customHeight="1">
      <c r="B7" s="5" t="inlineStr">
        <is>
          <t>3. Mira el semáforo: VERDE puedes operar · ÁMBAR reduce riesgo · ROJO detente hoy. Usa el lote sugerido y nunca pases del lote máximo seguro.</t>
        </is>
      </c>
    </row>
    <row r="9">
      <c r="B9" s="6" t="inlineStr">
        <is>
          <t>Funciona en Excel 2016+ y en Google Sheets (Archivo &gt; Importar). Sin macros.</t>
        </is>
      </c>
    </row>
    <row r="11" ht="22" customHeight="1">
      <c r="B11" s="4" t="inlineStr">
        <is>
          <t>AVISO</t>
        </is>
      </c>
    </row>
    <row r="12">
      <c r="B12" s="7" t="inlineStr">
        <is>
          <t>No es asesoría financiera. Las reglas de cada firma cambian: verifica siempre en la web oficial.</t>
        </is>
      </c>
    </row>
    <row r="13" ht="30" customHeight="1">
      <c r="B13" s="8" t="inlineStr">
        <is>
          <t>Herramienta de control de riesgo. No da señales ni estrategias y no promete pasar ningún challenge. Presets de referencia oct-2026: verifica en la web oficial de tu firma.</t>
        </is>
      </c>
    </row>
    <row r="15" ht="22" customHeight="1">
      <c r="B15" s="4" t="inlineStr">
        <is>
          <t>¿QUIERES EL KIT COMPLETO?</t>
        </is>
      </c>
    </row>
    <row r="16" ht="30" customHeight="1">
      <c r="B16" s="8" t="inlineStr">
        <is>
          <t>El Kit Cuenta Viva suma registro de operaciones, panel automático, estadísticas por setup, comparación 'con checklist vs sin checklist' y reglas por firma. Más información:</t>
        </is>
      </c>
    </row>
    <row r="17">
      <c r="B17" s="9" t="inlineStr">
        <is>
          <t>https://cognitrade.github.io/cuentaviva/kit.html</t>
        </is>
      </c>
    </row>
    <row r="19">
      <c r="B19" s="6" t="inlineStr">
        <is>
          <t>Versión v1.0 — octubre 2026</t>
        </is>
      </c>
    </row>
  </sheetData>
  <mergeCells count="4">
    <mergeCell ref="B4"/>
    <mergeCell ref="B15"/>
    <mergeCell ref="A1:B1"/>
    <mergeCell ref="B11"/>
  </mergeCells>
  <hyperlinks>
    <hyperlink xmlns:r="http://schemas.openxmlformats.org/officeDocument/2006/relationships" ref="B1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A93B"/>
    <outlinePr summaryBelow="1" summaryRight="1"/>
    <pageSetUpPr/>
  </sheetPr>
  <dimension ref="A1:N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18" customWidth="1" min="4" max="4"/>
    <col width="22" customWidth="1" min="5" max="5"/>
    <col width="58" customWidth="1" min="6" max="6"/>
    <col width="12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40" customWidth="1" min="13" max="13"/>
    <col width="22" customWidth="1" min="14" max="14"/>
  </cols>
  <sheetData>
    <row r="1" ht="36" customHeight="1">
      <c r="A1" s="10" t="inlineStr">
        <is>
          <t>CONFIG — Configura tu cuenta</t>
        </is>
      </c>
      <c r="B1" s="2" t="n"/>
      <c r="C1" s="2" t="n"/>
      <c r="D1" s="2" t="n"/>
      <c r="E1" s="2" t="n"/>
      <c r="F1" s="2" t="n"/>
    </row>
    <row r="2" ht="28" customHeight="1">
      <c r="B2" s="6" t="inlineStr">
        <is>
          <t>Amarillo = lo editas tú.  Gris = se calcula solo.  No es asesoría financiera. Las reglas de cada firma cambian: verifica siempre en la web oficial.</t>
        </is>
      </c>
    </row>
    <row r="4" ht="22" customHeight="1">
      <c r="B4" s="4" t="inlineStr">
        <is>
          <t>TU CUENTA</t>
        </is>
      </c>
      <c r="C4" s="11" t="n"/>
      <c r="D4" s="11" t="n"/>
      <c r="E4" s="11" t="n"/>
      <c r="F4" s="11" t="n"/>
    </row>
    <row r="5">
      <c r="B5" s="12" t="inlineStr">
        <is>
          <t>Firma</t>
        </is>
      </c>
      <c r="C5" s="13" t="inlineStr">
        <is>
          <t>FTMO 2 fases</t>
        </is>
      </c>
      <c r="D5" s="14" t="inlineStr">
        <is>
          <t>Elige tu firma. 'Personalizada' = reglas a mano en 'Tu ajuste'.</t>
        </is>
      </c>
    </row>
    <row r="6">
      <c r="B6" s="12" t="inlineStr">
        <is>
          <t>Balance inicial de la cuenta (B0)</t>
        </is>
      </c>
      <c r="C6" s="15" t="n">
        <v>100000</v>
      </c>
      <c r="D6" s="14" t="inlineStr">
        <is>
          <t>Tamaño de la cuenta, p. ej. 100000.</t>
        </is>
      </c>
    </row>
    <row r="7">
      <c r="B7" s="12" t="inlineStr">
        <is>
          <t>Fase</t>
        </is>
      </c>
      <c r="C7" s="13" t="inlineStr">
        <is>
          <t>Fase 1</t>
        </is>
      </c>
      <c r="D7" s="14" t="inlineStr">
        <is>
          <t>Fase 1 / Fase 2 / Fondeada (fondeada no tiene objetivo).</t>
        </is>
      </c>
    </row>
    <row r="8">
      <c r="B8" s="12" t="inlineStr">
        <is>
          <t>Riesgo por operación (% del balance inicial)</t>
        </is>
      </c>
      <c r="C8" s="16" t="n">
        <v>0.005</v>
      </c>
      <c r="D8" s="14" t="inlineStr">
        <is>
          <t>0.50% de 100k = 500 USD por operación.</t>
        </is>
      </c>
    </row>
    <row r="9">
      <c r="B9" s="12" t="inlineStr">
        <is>
          <t>Riesgo por operación en USD (opcional)</t>
        </is>
      </c>
      <c r="C9" s="15" t="n"/>
      <c r="D9" s="14" t="inlineStr">
        <is>
          <t>Si escribes un monto aquí, manda sobre el %.</t>
        </is>
      </c>
    </row>
    <row r="10">
      <c r="B10" s="17" t="inlineStr">
        <is>
          <t>Riesgo usado por operación (R$)</t>
        </is>
      </c>
      <c r="C10" s="18">
        <f>IF(C9="",C8*C6,C9)</f>
        <v/>
      </c>
      <c r="D10" s="14" t="inlineStr">
        <is>
          <t>Este es tu 'R': lo que pierdes si salta el stop completo.</t>
        </is>
      </c>
    </row>
    <row r="11">
      <c r="B11" s="12" t="inlineStr">
        <is>
          <t>Instrumento</t>
        </is>
      </c>
      <c r="C11" s="13" t="inlineStr">
        <is>
          <t>EURUSD</t>
        </is>
      </c>
      <c r="D11" s="14" t="inlineStr">
        <is>
          <t>Define el valor por punto/pip (VPP).</t>
        </is>
      </c>
    </row>
    <row r="12">
      <c r="B12" s="12" t="inlineStr">
        <is>
          <t>VPP del preset</t>
        </is>
      </c>
      <c r="C12" s="19">
        <f>INDEX(CONFIG!$B$54:$B$63,MATCH(C11,CONFIG!$A$54:$A$63,0))</f>
        <v/>
      </c>
      <c r="D12" s="14" t="inlineStr">
        <is>
          <t>USD por 1 punto/pip con 1 lote. Depende del bróker.</t>
        </is>
      </c>
    </row>
    <row r="13">
      <c r="B13" s="12" t="inlineStr">
        <is>
          <t>VPP personalizado (opcional)</t>
        </is>
      </c>
      <c r="C13" s="20" t="n"/>
      <c r="D13" s="14" t="inlineStr">
        <is>
          <t>Si escribes un valor aquí, manda sobre el preset.</t>
        </is>
      </c>
    </row>
    <row r="14">
      <c r="B14" s="17" t="inlineStr">
        <is>
          <t>VPP usado</t>
        </is>
      </c>
      <c r="C14" s="21">
        <f>IF(C13="",C12,C13)</f>
        <v/>
      </c>
      <c r="D14" s="14" t="inlineStr"/>
    </row>
    <row r="15">
      <c r="B15" s="12" t="inlineStr">
        <is>
          <t>Distancia típica del stop (puntos o pips)</t>
        </is>
      </c>
      <c r="C15" s="22" t="n">
        <v>20</v>
      </c>
      <c r="D15" s="14" t="inlineStr">
        <is>
          <t>Se usa para el lote sugerido.</t>
        </is>
      </c>
    </row>
    <row r="18" ht="44" customHeight="1">
      <c r="B18" s="6" t="inlineStr">
        <is>
          <t>Zona horaria: el 'inicio del día' se calcula con la fecha de tu computador (en Google Sheets: Archivo &gt; Configuración &gt; Zona horaria). Si tu firma reinicia el día a otra hora (p. ej. medianoche de Europa), escribe la referencia manual en la CALCULADORA.</t>
        </is>
      </c>
    </row>
    <row r="19" ht="22" customHeight="1">
      <c r="B19" s="4" t="inlineStr">
        <is>
          <t>REGLAS DE LA FIRMA — preset + tu ajuste</t>
        </is>
      </c>
      <c r="C19" s="11" t="n"/>
      <c r="D19" s="11" t="n"/>
      <c r="E19" s="11" t="n"/>
      <c r="F19" s="11" t="n"/>
    </row>
    <row r="20">
      <c r="B20" s="23" t="inlineStr">
        <is>
          <t>Regla</t>
        </is>
      </c>
      <c r="C20" s="23" t="inlineStr">
        <is>
          <t>Preset de la firma</t>
        </is>
      </c>
      <c r="D20" s="23" t="inlineStr">
        <is>
          <t>Tu ajuste (opcional)</t>
        </is>
      </c>
      <c r="E20" s="23" t="inlineStr">
        <is>
          <t>Valor usado</t>
        </is>
      </c>
      <c r="F20" s="23" t="inlineStr">
        <is>
          <t>Nota</t>
        </is>
      </c>
    </row>
    <row r="21">
      <c r="B21" s="12" t="inlineStr">
        <is>
          <t>Pérdida diaria (%)</t>
        </is>
      </c>
      <c r="C21" s="24">
        <f>INDEX(CONFIG!$C$41:$C$48,MATCH($C$5,CONFIG!$B$41:$B$48,0))</f>
        <v/>
      </c>
      <c r="D21" s="16" t="n"/>
      <c r="E21" s="25">
        <f>IF(D21="",C21,D21)</f>
        <v/>
      </c>
      <c r="F21" s="14" t="inlineStr">
        <is>
          <t>Ver 'Base pérdida diaria'.</t>
        </is>
      </c>
    </row>
    <row r="22">
      <c r="B22" s="12" t="inlineStr">
        <is>
          <t>Base pérdida diaria (inicial / referencia)</t>
        </is>
      </c>
      <c r="C22" s="26">
        <f>INDEX(CONFIG!$D$41:$D$48,MATCH($C$5,CONFIG!$B$41:$B$48,0))</f>
        <v/>
      </c>
      <c r="D22" s="13" t="n"/>
      <c r="E22" s="27">
        <f>IF(D22="",C22,D22)</f>
        <v/>
      </c>
      <c r="F22" s="14" t="inlineStr">
        <is>
          <t>inicial: piso = REF − % × B0.  referencia: piso = REF × (1 − %).</t>
        </is>
      </c>
    </row>
    <row r="23">
      <c r="B23" s="12" t="inlineStr">
        <is>
          <t>Pérdida máxima (% del balance inicial)</t>
        </is>
      </c>
      <c r="C23" s="24">
        <f>INDEX(CONFIG!$E$41:$E$48,MATCH($C$5,CONFIG!$B$41:$B$48,0))</f>
        <v/>
      </c>
      <c r="D23" s="16" t="n"/>
      <c r="E23" s="25">
        <f>IF(D23="",C23,D23)</f>
        <v/>
      </c>
      <c r="F23" s="14" t="inlineStr">
        <is>
          <t>Estática: piso fijo. Trailing: sube con el pico.</t>
        </is>
      </c>
    </row>
    <row r="24">
      <c r="B24" s="12" t="inlineStr">
        <is>
          <t>Tipo de pérdida máxima</t>
        </is>
      </c>
      <c r="C24" s="26">
        <f>INDEX(CONFIG!$F$41:$F$48,MATCH($C$5,CONFIG!$B$41:$B$48,0))</f>
        <v/>
      </c>
      <c r="D24" s="13" t="n"/>
      <c r="E24" s="27">
        <f>IF(D24="",C24,D24)</f>
        <v/>
      </c>
      <c r="F24" s="14" t="inlineStr">
        <is>
          <t>estática o trailing.</t>
        </is>
      </c>
    </row>
    <row r="25">
      <c r="B25" s="12" t="inlineStr">
        <is>
          <t>Trailing: ¿el piso deja de subir en B0?</t>
        </is>
      </c>
      <c r="C25" s="26">
        <f>INDEX(CONFIG!$G$41:$G$48,MATCH($C$5,CONFIG!$B$41:$B$48,0))</f>
        <v/>
      </c>
      <c r="D25" s="13" t="n"/>
      <c r="E25" s="27">
        <f>IF(D25="",C25,D25)</f>
        <v/>
      </c>
      <c r="F25" s="14" t="inlineStr">
        <is>
          <t>Sí = el piso nunca pasa del balance inicial.</t>
        </is>
      </c>
    </row>
    <row r="26">
      <c r="B26" s="12" t="inlineStr">
        <is>
          <t>Objetivo Fase 1 (%)</t>
        </is>
      </c>
      <c r="C26" s="24">
        <f>INDEX(CONFIG!$H$41:$H$48,MATCH($C$5,CONFIG!$B$41:$B$48,0))</f>
        <v/>
      </c>
      <c r="D26" s="16" t="n"/>
      <c r="E26" s="25">
        <f>IF(D26="",C26,D26)</f>
        <v/>
      </c>
      <c r="F26" s="14" t="inlineStr"/>
    </row>
    <row r="27">
      <c r="B27" s="12" t="inlineStr">
        <is>
          <t>Objetivo Fase 2 (%)</t>
        </is>
      </c>
      <c r="C27" s="24">
        <f>INDEX(CONFIG!$I$41:$I$48,MATCH($C$5,CONFIG!$B$41:$B$48,0))</f>
        <v/>
      </c>
      <c r="D27" s="16" t="n"/>
      <c r="E27" s="25">
        <f>IF(D27="",C27,D27)</f>
        <v/>
      </c>
      <c r="F27" s="14" t="inlineStr"/>
    </row>
    <row r="28">
      <c r="B28" s="12" t="inlineStr">
        <is>
          <t>Días mínimos</t>
        </is>
      </c>
      <c r="C28" s="28">
        <f>INDEX(CONFIG!$J$41:$J$48,MATCH($C$5,CONFIG!$B$41:$B$48,0))</f>
        <v/>
      </c>
      <c r="D28" s="29" t="n"/>
      <c r="E28" s="30">
        <f>IF(D28="",C28,D28)</f>
        <v/>
      </c>
      <c r="F28" s="14" t="inlineStr"/>
    </row>
    <row r="29">
      <c r="B29" s="12" t="inlineStr">
        <is>
          <t>Tipo de días mínimos (operados / rentables)</t>
        </is>
      </c>
      <c r="C29" s="26">
        <f>INDEX(CONFIG!$K$41:$K$48,MATCH($C$5,CONFIG!$B$41:$B$48,0))</f>
        <v/>
      </c>
      <c r="D29" s="13" t="n"/>
      <c r="E29" s="27">
        <f>IF(D29="",C29,D29)</f>
        <v/>
      </c>
      <c r="F29" s="14" t="inlineStr">
        <is>
          <t>rentables = días con PnL cerrado ≥ el umbral de abajo.</t>
        </is>
      </c>
    </row>
    <row r="30">
      <c r="B30" s="12" t="inlineStr">
        <is>
          <t>Día rentable si PnL del día ≥ (% de B0)</t>
        </is>
      </c>
      <c r="C30" s="24">
        <f>INDEX(CONFIG!$L$41:$L$48,MATCH($C$5,CONFIG!$B$41:$B$48,0))</f>
        <v/>
      </c>
      <c r="D30" s="16" t="n"/>
      <c r="E30" s="25">
        <f>IF(D30="",C30,D30)</f>
        <v/>
      </c>
      <c r="F30" s="14" t="inlineStr">
        <is>
          <t>Solo aplica si los días son 'rentables'.</t>
        </is>
      </c>
    </row>
    <row r="31" ht="58" customHeight="1">
      <c r="B31" s="12" t="inlineStr">
        <is>
          <t>REF: qué escribir como inicio del día</t>
        </is>
      </c>
      <c r="C31" s="31">
        <f>INDEX(CONFIG!$M$41:$M$48,MATCH($C$5,CONFIG!$B$41:$B$48,0))</f>
        <v/>
      </c>
      <c r="D31" s="32" t="n"/>
      <c r="E31" s="33">
        <f>IF(D31="",C31,D31)</f>
        <v/>
      </c>
      <c r="F31" s="14" t="inlineStr">
        <is>
          <t>Lo que tu firma usa como referencia diaria.</t>
        </is>
      </c>
    </row>
    <row r="32" ht="32" customHeight="1">
      <c r="B32" s="12" t="inlineStr">
        <is>
          <t>Reset del día</t>
        </is>
      </c>
      <c r="C32" s="31">
        <f>INDEX(CONFIG!$N$41:$N$48,MATCH($C$5,CONFIG!$B$41:$B$48,0))</f>
        <v/>
      </c>
      <c r="D32" s="32" t="n"/>
      <c r="E32" s="33">
        <f>IF(D32="",C32,D32)</f>
        <v/>
      </c>
      <c r="F32" s="14" t="inlineStr">
        <is>
          <t>Hora en que tu firma empieza un día nuevo.</t>
        </is>
      </c>
    </row>
    <row r="33">
      <c r="B33" s="17" t="inlineStr">
        <is>
          <t>Objetivo usado según la fase</t>
        </is>
      </c>
      <c r="C33" s="26" t="n"/>
      <c r="D33" s="26" t="n"/>
      <c r="E33" s="25">
        <f>IF(C7="Fase 1",E26,IF(C7="Fase 2",E27,0))</f>
        <v/>
      </c>
      <c r="F33" s="14" t="inlineStr">
        <is>
          <t>Fondeada = sin objetivo.</t>
        </is>
      </c>
    </row>
    <row r="35">
      <c r="B35" s="34" t="inlineStr">
        <is>
          <t>Valores de referencia oct-2026 — verifica en la web oficial de tu firma.</t>
        </is>
      </c>
    </row>
    <row r="38" ht="22" customHeight="1">
      <c r="A38" s="4" t="inlineStr">
        <is>
          <t>PRESETS DE FIRMAS (editables)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 ht="28" customHeight="1">
      <c r="A39" s="34" t="inlineStr">
        <is>
          <t>Valores de referencia oct-2026 — verifica en la web oficial de tu firma. La pérdida máxima siempre es % del balance inicial (B0). La diaria depende de 'Base pérdida diaria': inicial = % de B0; referencia = % de la REF del inicio del día.</t>
        </is>
      </c>
    </row>
    <row r="40" ht="32" customHeight="1">
      <c r="A40" s="23" t="inlineStr">
        <is>
          <t>id</t>
        </is>
      </c>
      <c r="B40" s="23" t="inlineStr">
        <is>
          <t>Nombre (aparece en CONFIG)</t>
        </is>
      </c>
      <c r="C40" s="23" t="inlineStr">
        <is>
          <t>Pérdida diaria</t>
        </is>
      </c>
      <c r="D40" s="23" t="inlineStr">
        <is>
          <t>Base pérdida diaria</t>
        </is>
      </c>
      <c r="E40" s="23" t="inlineStr">
        <is>
          <t>Pérdida máxima</t>
        </is>
      </c>
      <c r="F40" s="23" t="inlineStr">
        <is>
          <t>Tipo pérdida máx</t>
        </is>
      </c>
      <c r="G40" s="23" t="inlineStr">
        <is>
          <t>Trailing: bloquear en B0</t>
        </is>
      </c>
      <c r="H40" s="23" t="inlineStr">
        <is>
          <t>Objetivo F1</t>
        </is>
      </c>
      <c r="I40" s="23" t="inlineStr">
        <is>
          <t>Objetivo F2</t>
        </is>
      </c>
      <c r="J40" s="23" t="inlineStr">
        <is>
          <t>Días mín</t>
        </is>
      </c>
      <c r="K40" s="23" t="inlineStr">
        <is>
          <t>Tipo de días mín</t>
        </is>
      </c>
      <c r="L40" s="23" t="inlineStr">
        <is>
          <t>Día rentable ≥ (% B0)</t>
        </is>
      </c>
      <c r="M40" s="23" t="inlineStr">
        <is>
          <t>REF: qué escribir</t>
        </is>
      </c>
      <c r="N40" s="23" t="inlineStr">
        <is>
          <t>Reset del día</t>
        </is>
      </c>
    </row>
    <row r="41" ht="46" customHeight="1">
      <c r="A41" s="13" t="inlineStr">
        <is>
          <t>ftmo2</t>
        </is>
      </c>
      <c r="B41" s="35" t="inlineStr">
        <is>
          <t>FTMO 2 fases</t>
        </is>
      </c>
      <c r="C41" s="16" t="n">
        <v>0.05</v>
      </c>
      <c r="D41" s="13" t="inlineStr">
        <is>
          <t>inicial</t>
        </is>
      </c>
      <c r="E41" s="16" t="n">
        <v>0.1</v>
      </c>
      <c r="F41" s="13" t="inlineStr">
        <is>
          <t>estática</t>
        </is>
      </c>
      <c r="G41" s="13" t="inlineStr">
        <is>
          <t>No</t>
        </is>
      </c>
      <c r="H41" s="16" t="n">
        <v>0.1</v>
      </c>
      <c r="I41" s="16" t="n">
        <v>0.05</v>
      </c>
      <c r="J41" s="29" t="n">
        <v>4</v>
      </c>
      <c r="K41" s="13" t="inlineStr">
        <is>
          <t>operados</t>
        </is>
      </c>
      <c r="L41" s="16" t="n">
        <v>0</v>
      </c>
      <c r="M41" s="35" t="inlineStr">
        <is>
          <t>balance al inicio del día</t>
        </is>
      </c>
      <c r="N41" s="35" t="inlineStr">
        <is>
          <t>00:00 CE(S)T</t>
        </is>
      </c>
    </row>
    <row r="42" ht="46" customHeight="1">
      <c r="A42" s="13" t="inlineStr">
        <is>
          <t>fn_stellar2</t>
        </is>
      </c>
      <c r="B42" s="35" t="inlineStr">
        <is>
          <t>FundedNext Stellar 2 fases</t>
        </is>
      </c>
      <c r="C42" s="16" t="n">
        <v>0.05</v>
      </c>
      <c r="D42" s="13" t="inlineStr">
        <is>
          <t>inicial</t>
        </is>
      </c>
      <c r="E42" s="16" t="n">
        <v>0.1</v>
      </c>
      <c r="F42" s="13" t="inlineStr">
        <is>
          <t>estática</t>
        </is>
      </c>
      <c r="G42" s="13" t="inlineStr">
        <is>
          <t>No</t>
        </is>
      </c>
      <c r="H42" s="16" t="n">
        <v>0.08</v>
      </c>
      <c r="I42" s="16" t="n">
        <v>0.05</v>
      </c>
      <c r="J42" s="29" t="n">
        <v>5</v>
      </c>
      <c r="K42" s="13" t="inlineStr">
        <is>
          <t>operados</t>
        </is>
      </c>
      <c r="L42" s="16" t="n">
        <v>0</v>
      </c>
      <c r="M42" s="35" t="inlineStr">
        <is>
          <t>balance al inicio del día (supuesto conservador: si tu equity era mayor, usa el mayor)</t>
        </is>
      </c>
      <c r="N42" s="35" t="inlineStr">
        <is>
          <t>00:00 hora servidor (GMT+2/+3)</t>
        </is>
      </c>
    </row>
    <row r="43" ht="46" customHeight="1">
      <c r="A43" s="13" t="inlineStr">
        <is>
          <t>the5ers_hs</t>
        </is>
      </c>
      <c r="B43" s="35" t="inlineStr">
        <is>
          <t>The5ers High Stakes (New)</t>
        </is>
      </c>
      <c r="C43" s="16" t="n">
        <v>0.05</v>
      </c>
      <c r="D43" s="13" t="inlineStr">
        <is>
          <t>referencia</t>
        </is>
      </c>
      <c r="E43" s="16" t="n">
        <v>0.1</v>
      </c>
      <c r="F43" s="13" t="inlineStr">
        <is>
          <t>estática</t>
        </is>
      </c>
      <c r="G43" s="13" t="inlineStr">
        <is>
          <t>No</t>
        </is>
      </c>
      <c r="H43" s="16" t="n">
        <v>0.1</v>
      </c>
      <c r="I43" s="16" t="n">
        <v>0.05</v>
      </c>
      <c r="J43" s="29" t="n">
        <v>3</v>
      </c>
      <c r="K43" s="13" t="inlineStr">
        <is>
          <t>rentables</t>
        </is>
      </c>
      <c r="L43" s="16" t="n">
        <v>0.005</v>
      </c>
      <c r="M43" s="35" t="inlineStr">
        <is>
          <t>mayor entre balance y equity al cierre anterior</t>
        </is>
      </c>
      <c r="N43" s="35" t="inlineStr">
        <is>
          <t>00:00 hora servidor</t>
        </is>
      </c>
    </row>
    <row r="44" ht="46" customHeight="1">
      <c r="A44" s="13" t="inlineStr">
        <is>
          <t>custom</t>
        </is>
      </c>
      <c r="B44" s="35" t="inlineStr">
        <is>
          <t>Personalizada</t>
        </is>
      </c>
      <c r="C44" s="16" t="n">
        <v>0.05</v>
      </c>
      <c r="D44" s="13" t="inlineStr">
        <is>
          <t>inicial</t>
        </is>
      </c>
      <c r="E44" s="16" t="n">
        <v>0.1</v>
      </c>
      <c r="F44" s="13" t="inlineStr">
        <is>
          <t>estática</t>
        </is>
      </c>
      <c r="G44" s="13" t="inlineStr">
        <is>
          <t>Sí</t>
        </is>
      </c>
      <c r="H44" s="16" t="n">
        <v>0.1</v>
      </c>
      <c r="I44" s="16" t="n">
        <v>0.05</v>
      </c>
      <c r="J44" s="29" t="n">
        <v>0</v>
      </c>
      <c r="K44" s="13" t="inlineStr">
        <is>
          <t>operados</t>
        </is>
      </c>
      <c r="L44" s="16" t="n">
        <v>0</v>
      </c>
      <c r="M44" s="35" t="inlineStr">
        <is>
          <t>editable</t>
        </is>
      </c>
      <c r="N44" s="35" t="inlineStr">
        <is>
          <t>—</t>
        </is>
      </c>
    </row>
    <row r="45" ht="46" customHeight="1">
      <c r="A45" s="13" t="n"/>
      <c r="B45" s="35" t="n"/>
      <c r="C45" s="16" t="n"/>
      <c r="D45" s="13" t="n"/>
      <c r="E45" s="16" t="n"/>
      <c r="F45" s="13" t="n"/>
      <c r="G45" s="13" t="n"/>
      <c r="H45" s="16" t="n"/>
      <c r="I45" s="16" t="n"/>
      <c r="J45" s="29" t="n"/>
      <c r="K45" s="13" t="n"/>
      <c r="L45" s="16" t="n"/>
      <c r="M45" s="35" t="n"/>
      <c r="N45" s="35" t="n"/>
    </row>
    <row r="46" ht="46" customHeight="1">
      <c r="A46" s="13" t="n"/>
      <c r="B46" s="35" t="n"/>
      <c r="C46" s="16" t="n"/>
      <c r="D46" s="13" t="n"/>
      <c r="E46" s="16" t="n"/>
      <c r="F46" s="13" t="n"/>
      <c r="G46" s="13" t="n"/>
      <c r="H46" s="16" t="n"/>
      <c r="I46" s="16" t="n"/>
      <c r="J46" s="29" t="n"/>
      <c r="K46" s="13" t="n"/>
      <c r="L46" s="16" t="n"/>
      <c r="M46" s="35" t="n"/>
      <c r="N46" s="35" t="n"/>
    </row>
    <row r="47" ht="46" customHeight="1">
      <c r="A47" s="13" t="n"/>
      <c r="B47" s="35" t="n"/>
      <c r="C47" s="16" t="n"/>
      <c r="D47" s="13" t="n"/>
      <c r="E47" s="16" t="n"/>
      <c r="F47" s="13" t="n"/>
      <c r="G47" s="13" t="n"/>
      <c r="H47" s="16" t="n"/>
      <c r="I47" s="16" t="n"/>
      <c r="J47" s="29" t="n"/>
      <c r="K47" s="13" t="n"/>
      <c r="L47" s="16" t="n"/>
      <c r="M47" s="35" t="n"/>
      <c r="N47" s="35" t="n"/>
    </row>
    <row r="48" ht="46" customHeight="1">
      <c r="A48" s="13" t="n"/>
      <c r="B48" s="35" t="n"/>
      <c r="C48" s="16" t="n"/>
      <c r="D48" s="13" t="n"/>
      <c r="E48" s="16" t="n"/>
      <c r="F48" s="13" t="n"/>
      <c r="G48" s="13" t="n"/>
      <c r="H48" s="16" t="n"/>
      <c r="I48" s="16" t="n"/>
      <c r="J48" s="29" t="n"/>
      <c r="K48" s="13" t="n"/>
      <c r="L48" s="16" t="n"/>
      <c r="M48" s="35" t="n"/>
      <c r="N48" s="35" t="n"/>
    </row>
    <row r="49" ht="28" customHeight="1">
      <c r="A49" s="14" t="inlineStr">
        <is>
          <t>Las filas vacías son para agregar otra firma: escribe el nombre y sus reglas; aparecerá en el selector de CONFIG. The5ers High Stakes 'Classic' usa objetivo F1 de 8%. Ninguno de estos programas tiene trailing ni regla de consistencia por defecto (FundedNext la ofrece como add-on opcional de 40%).</t>
        </is>
      </c>
    </row>
    <row r="51" ht="22" customHeight="1">
      <c r="A51" s="4" t="inlineStr">
        <is>
          <t>VALOR POR PUNTO / PIP (VPP) — USD por 1 punto o pip con 1 lote estándar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>
      <c r="A52" s="34" t="inlineStr">
        <is>
          <t>Depende del bróker. Confírmalo en la especificación del contrato de tu plataforma.</t>
        </is>
      </c>
    </row>
    <row r="53">
      <c r="A53" s="23" t="inlineStr">
        <is>
          <t>Instrumento</t>
        </is>
      </c>
      <c r="B53" s="23" t="inlineStr">
        <is>
          <t>VPP (USD)</t>
        </is>
      </c>
      <c r="C53" s="23" t="inlineStr">
        <is>
          <t>Nota</t>
        </is>
      </c>
    </row>
    <row r="54">
      <c r="A54" s="13" t="inlineStr">
        <is>
          <t>EURUSD</t>
        </is>
      </c>
      <c r="B54" s="20" t="n">
        <v>10</v>
      </c>
      <c r="C54" s="36" t="inlineStr">
        <is>
          <t>pip; depende del bróker</t>
        </is>
      </c>
    </row>
    <row r="55">
      <c r="A55" s="13" t="inlineStr">
        <is>
          <t>GBPUSD</t>
        </is>
      </c>
      <c r="B55" s="20" t="n">
        <v>10</v>
      </c>
      <c r="C55" s="36" t="inlineStr">
        <is>
          <t>pip; depende del bróker</t>
        </is>
      </c>
    </row>
    <row r="56">
      <c r="A56" s="13" t="inlineStr">
        <is>
          <t>AUDUSD</t>
        </is>
      </c>
      <c r="B56" s="20" t="n">
        <v>10</v>
      </c>
      <c r="C56" s="36" t="inlineStr">
        <is>
          <t>pip; depende del bróker</t>
        </is>
      </c>
    </row>
    <row r="57">
      <c r="A57" s="13" t="inlineStr">
        <is>
          <t>NZDUSD</t>
        </is>
      </c>
      <c r="B57" s="20" t="n">
        <v>10</v>
      </c>
      <c r="C57" s="36" t="inlineStr">
        <is>
          <t>pip; depende del bróker</t>
        </is>
      </c>
    </row>
    <row r="58">
      <c r="A58" s="13" t="inlineStr">
        <is>
          <t>USDJPY</t>
        </is>
      </c>
      <c r="B58" s="20" t="n">
        <v>6.5</v>
      </c>
      <c r="C58" s="36" t="inlineStr">
        <is>
          <t>APROXIMADO: depende del precio de USDJPY</t>
        </is>
      </c>
    </row>
    <row r="59">
      <c r="A59" s="13" t="inlineStr">
        <is>
          <t>XAUUSD</t>
        </is>
      </c>
      <c r="B59" s="20" t="n">
        <v>100</v>
      </c>
      <c r="C59" s="36" t="inlineStr">
        <is>
          <t>por 1.00 USD de movimiento, contrato 100 oz</t>
        </is>
      </c>
    </row>
    <row r="60">
      <c r="A60" s="13" t="inlineStr">
        <is>
          <t>US30</t>
        </is>
      </c>
      <c r="B60" s="20" t="n">
        <v>1</v>
      </c>
      <c r="C60" s="36" t="inlineStr">
        <is>
          <t>varía mucho por bróker (0.1–20); revísalo en tu plataforma</t>
        </is>
      </c>
    </row>
    <row r="61">
      <c r="A61" s="13" t="inlineStr">
        <is>
          <t>NAS100</t>
        </is>
      </c>
      <c r="B61" s="20" t="n">
        <v>1</v>
      </c>
      <c r="C61" s="36" t="inlineStr">
        <is>
          <t>varía mucho por bróker (0.1–20); revísalo en tu plataforma</t>
        </is>
      </c>
    </row>
    <row r="62">
      <c r="A62" s="13" t="inlineStr">
        <is>
          <t>US500</t>
        </is>
      </c>
      <c r="B62" s="20" t="n">
        <v>1</v>
      </c>
      <c r="C62" s="36" t="inlineStr">
        <is>
          <t>varía mucho por bróker (0.1–20); revísalo en tu plataforma</t>
        </is>
      </c>
    </row>
    <row r="63">
      <c r="A63" s="13" t="inlineStr">
        <is>
          <t>Personalizado</t>
        </is>
      </c>
      <c r="B63" s="20" t="n"/>
      <c r="C63" s="36" t="inlineStr">
        <is>
          <t>escribe tu VPP en CONFIG (VPP personalizado)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2">
    <mergeCell ref="B4:F4"/>
    <mergeCell ref="D11:F11"/>
    <mergeCell ref="C54:N54"/>
    <mergeCell ref="A39:N39"/>
    <mergeCell ref="D13:F13"/>
    <mergeCell ref="C63:N63"/>
    <mergeCell ref="C55:N55"/>
    <mergeCell ref="A51:N51"/>
    <mergeCell ref="A49:N49"/>
    <mergeCell ref="D7:F7"/>
    <mergeCell ref="C56:N56"/>
    <mergeCell ref="B18:F18"/>
    <mergeCell ref="C59:N59"/>
    <mergeCell ref="C60:N60"/>
    <mergeCell ref="B2:F2"/>
    <mergeCell ref="D12:F12"/>
    <mergeCell ref="C61:N61"/>
    <mergeCell ref="D9:F9"/>
    <mergeCell ref="D8:F8"/>
    <mergeCell ref="D15:F15"/>
    <mergeCell ref="D14:F14"/>
    <mergeCell ref="D5:F5"/>
    <mergeCell ref="C57:N57"/>
    <mergeCell ref="B19:F19"/>
    <mergeCell ref="D10:F10"/>
    <mergeCell ref="C62:N62"/>
    <mergeCell ref="A38:N38"/>
    <mergeCell ref="C58:N58"/>
    <mergeCell ref="A1:F1"/>
    <mergeCell ref="A52:N52"/>
    <mergeCell ref="D6:F6"/>
    <mergeCell ref="B35:F35"/>
  </mergeCells>
  <dataValidations count="11">
    <dataValidation sqref="D41:D48" showDropDown="0" showInputMessage="0" showErrorMessage="0" allowBlank="1" errorTitle="Valor no válido" error="Elige un valor de la lista." type="list">
      <formula1>"inicial,referencia"</formula1>
    </dataValidation>
    <dataValidation sqref="F41:F48" showDropDown="0" showInputMessage="0" showErrorMessage="0" allowBlank="1" errorTitle="Valor no válido" error="Elige un valor de la lista." type="list">
      <formula1>"estática,trailing"</formula1>
    </dataValidation>
    <dataValidation sqref="G41:G48" showDropDown="0" showInputMessage="0" showErrorMessage="0" allowBlank="1" errorTitle="Valor no válido" error="Elige un valor de la lista." type="list">
      <formula1>"Sí,No"</formula1>
    </dataValidation>
    <dataValidation sqref="K41:K48" showDropDown="0" showInputMessage="0" showErrorMessage="0" allowBlank="1" errorTitle="Valor no válido" error="Elige un valor de la lista." type="list">
      <formula1>"operados,rentables"</formula1>
    </dataValidation>
    <dataValidation sqref="C5" showDropDown="0" showInputMessage="0" showErrorMessage="0" allowBlank="1" errorTitle="Valor no válido" error="Elige un valor de la lista." type="list">
      <formula1>CONFIG!$B$41:$B$48</formula1>
    </dataValidation>
    <dataValidation sqref="C7" showDropDown="0" showInputMessage="0" showErrorMessage="0" allowBlank="1" errorTitle="Valor no válido" error="Elige un valor de la lista." type="list">
      <formula1>"Fase 1,Fase 2,Fondeada"</formula1>
    </dataValidation>
    <dataValidation sqref="C11" showDropDown="0" showInputMessage="0" showErrorMessage="0" allowBlank="1" errorTitle="Valor no válido" error="Elige un valor de la lista." type="list">
      <formula1>CONFIG!$A$54:$A$63</formula1>
    </dataValidation>
    <dataValidation sqref="D22" showDropDown="0" showInputMessage="0" showErrorMessage="0" allowBlank="1" errorTitle="Valor no válido" error="Elige un valor de la lista." type="list">
      <formula1>"inicial,referencia"</formula1>
    </dataValidation>
    <dataValidation sqref="D24" showDropDown="0" showInputMessage="0" showErrorMessage="0" allowBlank="1" errorTitle="Valor no válido" error="Elige un valor de la lista." type="list">
      <formula1>"estática,trailing"</formula1>
    </dataValidation>
    <dataValidation sqref="D25" showDropDown="0" showInputMessage="0" showErrorMessage="0" allowBlank="1" errorTitle="Valor no válido" error="Elige un valor de la lista." type="list">
      <formula1>"Sí,No"</formula1>
    </dataValidation>
    <dataValidation sqref="D29" showDropDown="0" showInputMessage="0" showErrorMessage="0" allowBlank="1" errorTitle="Valor no válido" error="Elige un valor de la lista." type="list">
      <formula1>"operados,rentables"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BF75"/>
    <outlinePr summaryBelow="1" summaryRight="1"/>
    <pageSetUpPr fitToPage="1"/>
  </sheetPr>
  <dimension ref="A1:H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  <col width="34" customWidth="1" min="6" max="6"/>
    <col hidden="1" width="13" customWidth="1" min="8" max="8"/>
  </cols>
  <sheetData>
    <row r="1" ht="36" customHeight="1">
      <c r="A1" s="10" t="inlineStr">
        <is>
          <t>CALCULADORA — ¿Puedo operar hoy?</t>
        </is>
      </c>
      <c r="B1" s="2" t="n"/>
      <c r="C1" s="2" t="n"/>
      <c r="D1" s="2" t="n"/>
      <c r="E1" s="2" t="n"/>
      <c r="F1" s="2" t="n"/>
    </row>
    <row r="2">
      <c r="B2" s="6" t="inlineStr">
        <is>
          <t>No es asesoría financiera. Las reglas de cada firma cambian: verifica siempre en la web oficial.</t>
        </is>
      </c>
    </row>
    <row r="4" ht="24" customHeight="1">
      <c r="B4" s="37">
        <f>IF(H4="VERDE","VERDE — Puedes operar",IF(H4="ÁMBAR","ÁMBAR — Reduce riesgo",IF(C22&lt;=0,"ROJO — Cuenta violada: detente","ROJO — Detente hoy")))</f>
        <v/>
      </c>
      <c r="H4">
        <f>IF(C22&lt;=0,"ROJO",IF(C22&lt;C23,"ROJO",IF(C22&lt;3*C23,"ÁMBAR","VERDE")))</f>
        <v/>
      </c>
    </row>
    <row r="5" ht="24" customHeight="1"/>
    <row r="6" ht="24" customHeight="1"/>
    <row r="7" ht="22" customHeight="1">
      <c r="B7" s="38">
        <f>IF(C20&lt;=C21,"Límite más cercano: pérdida DIARIA — margen "&amp;FIXED(MAX(0,C20),2)&amp;" USD","Límite más cercano: pérdida MÁXIMA — margen "&amp;FIXED(MAX(0,C21),2)&amp;" USD")&amp;"  |  Verde ≥ 3R · Ámbar entre 1R y 3R · Rojo &lt; 1R"</f>
        <v/>
      </c>
    </row>
    <row r="9" ht="22" customHeight="1">
      <c r="B9" s="4" t="inlineStr">
        <is>
          <t>DATOS DE TU PLATAFORMA (escríbelos tú)</t>
        </is>
      </c>
      <c r="C9" s="11" t="n"/>
      <c r="D9" s="11" t="n"/>
      <c r="E9" s="11" t="n"/>
      <c r="F9" s="11" t="n"/>
    </row>
    <row r="10">
      <c r="B10" s="23" t="inlineStr">
        <is>
          <t>Dato</t>
        </is>
      </c>
      <c r="C10" s="23" t="inlineStr">
        <is>
          <t>Valor</t>
        </is>
      </c>
      <c r="D10" s="23" t="inlineStr">
        <is>
          <t>Qué escribir</t>
        </is>
      </c>
      <c r="E10" s="39" t="n"/>
      <c r="F10" s="40" t="n"/>
    </row>
    <row r="11">
      <c r="B11" s="12" t="inlineStr">
        <is>
          <t>Balance inicial (B0)</t>
        </is>
      </c>
      <c r="C11" s="18">
        <f>CONFIG!C6</f>
        <v/>
      </c>
      <c r="D11" s="14" t="inlineStr">
        <is>
          <t>Se edita en CONFIG.</t>
        </is>
      </c>
    </row>
    <row r="12" ht="28" customHeight="1">
      <c r="B12" s="12" t="inlineStr">
        <is>
          <t>Equity actual (EQ)</t>
        </is>
      </c>
      <c r="C12" s="15" t="n">
        <v>100000</v>
      </c>
      <c r="D12" s="14" t="inlineStr">
        <is>
          <t>Balance + flotante, tal como lo muestra tu plataforma.</t>
        </is>
      </c>
    </row>
    <row r="13" ht="48" customHeight="1">
      <c r="B13" s="12" t="inlineStr">
        <is>
          <t>Referencia de inicio del día (REF)</t>
        </is>
      </c>
      <c r="C13" s="15" t="n">
        <v>100000</v>
      </c>
      <c r="D13" s="14">
        <f>"Tu firma usa: "&amp;CONFIG!$E$31&amp;" · reset "&amp;CONFIG!$E$32</f>
        <v/>
      </c>
    </row>
    <row r="14" ht="28" customHeight="1">
      <c r="B14" s="12" t="inlineStr">
        <is>
          <t>Pico de balance/equity (solo trailing)</t>
        </is>
      </c>
      <c r="C14" s="15" t="n">
        <v>100000</v>
      </c>
      <c r="D14" s="14" t="inlineStr">
        <is>
          <t>El máximo alcanzado. Si tu cuenta es estática, déjalo igual al B0.</t>
        </is>
      </c>
    </row>
    <row r="16" ht="22" customHeight="1">
      <c r="B16" s="4" t="inlineStr">
        <is>
          <t>LÍMITES DE HOY</t>
        </is>
      </c>
      <c r="C16" s="11" t="n"/>
      <c r="D16" s="11" t="n"/>
      <c r="E16" s="11" t="n"/>
      <c r="F16" s="11" t="n"/>
    </row>
    <row r="17">
      <c r="B17" s="23" t="inlineStr">
        <is>
          <t>Concepto</t>
        </is>
      </c>
      <c r="C17" s="23" t="inlineStr">
        <is>
          <t>Valor</t>
        </is>
      </c>
      <c r="D17" s="23" t="inlineStr">
        <is>
          <t>Cómo se calcula</t>
        </is>
      </c>
      <c r="E17" s="39" t="n"/>
      <c r="F17" s="40" t="n"/>
    </row>
    <row r="18">
      <c r="B18" s="12" t="inlineStr">
        <is>
          <t>Piso diario</t>
        </is>
      </c>
      <c r="C18" s="41">
        <f>IF(CONFIG!$E$22="referencia",$C$13*(1-CONFIG!$E$21),$C$13-CONFIG!$E$21*$C$11)</f>
        <v/>
      </c>
      <c r="D18" s="14" t="inlineStr">
        <is>
          <t>inicial: REF − pérdida diaria × B0 · referencia: REF × (1 − pérdida diaria)</t>
        </is>
      </c>
    </row>
    <row r="19">
      <c r="B19" s="12" t="inlineStr">
        <is>
          <t>Piso máximo</t>
        </is>
      </c>
      <c r="C19" s="41">
        <f>IF(CONFIG!$E$24="trailing",IF(CONFIG!$E$25="Sí",MIN($C$14-CONFIG!$E$23*$C$11,$C$11),$C$14-CONFIG!$E$23*$C$11),$C$11*(1-CONFIG!$E$23))</f>
        <v/>
      </c>
      <c r="D19" s="14" t="inlineStr">
        <is>
          <t>Estática: B0 × (1 − pérdida máx). Trailing: PICO − pérdida máx × B0</t>
        </is>
      </c>
    </row>
    <row r="20">
      <c r="B20" s="12" t="inlineStr">
        <is>
          <t>Colchón diario</t>
        </is>
      </c>
      <c r="C20" s="41">
        <f>$C$12-C18</f>
        <v/>
      </c>
      <c r="D20" s="14" t="inlineStr">
        <is>
          <t>EQ − piso diario</t>
        </is>
      </c>
    </row>
    <row r="21">
      <c r="B21" s="12" t="inlineStr">
        <is>
          <t>Colchón máximo</t>
        </is>
      </c>
      <c r="C21" s="41">
        <f>$C$12-C19</f>
        <v/>
      </c>
      <c r="D21" s="14" t="inlineStr">
        <is>
          <t>EQ − piso máximo</t>
        </is>
      </c>
    </row>
    <row r="22">
      <c r="B22" s="17" t="inlineStr">
        <is>
          <t>COLCHÓN EFECTIVO</t>
        </is>
      </c>
      <c r="C22" s="18">
        <f>MIN(C20,C21)</f>
        <v/>
      </c>
      <c r="D22" s="14" t="inlineStr">
        <is>
          <t>El menor de los dos. Si es ≤ 0, la cuenta está violada.</t>
        </is>
      </c>
    </row>
    <row r="23">
      <c r="B23" s="12" t="inlineStr">
        <is>
          <t>Riesgo por operación (R$)</t>
        </is>
      </c>
      <c r="C23" s="41">
        <f>CONFIG!$C$10</f>
        <v/>
      </c>
      <c r="D23" s="14" t="inlineStr">
        <is>
          <t>Desde CONFIG</t>
        </is>
      </c>
    </row>
    <row r="24">
      <c r="B24" s="12" t="inlineStr">
        <is>
          <t>Stops completos que aguantas</t>
        </is>
      </c>
      <c r="C24" s="28">
        <f>IF(C23&gt;0,IF(C22&lt;=0,0,INT(C22/C23)),"—")</f>
        <v/>
      </c>
      <c r="D24" s="14" t="inlineStr">
        <is>
          <t>Cuántas pérdidas de 1R seguidas antes de violar</t>
        </is>
      </c>
    </row>
    <row r="25">
      <c r="B25" s="12" t="inlineStr">
        <is>
          <t>Límite más cercano</t>
        </is>
      </c>
      <c r="C25" s="26">
        <f>IF(C20&lt;=C21,"Diario","Máximo")</f>
        <v/>
      </c>
      <c r="D25" s="14" t="inlineStr">
        <is>
          <t>Cuál de los dos pisos tienes más cerca</t>
        </is>
      </c>
    </row>
    <row r="27" ht="22" customHeight="1">
      <c r="B27" s="4" t="inlineStr">
        <is>
          <t>TAMAÑO DE POSICIÓN</t>
        </is>
      </c>
      <c r="C27" s="11" t="n"/>
      <c r="D27" s="11" t="n"/>
      <c r="E27" s="11" t="n"/>
      <c r="F27" s="11" t="n"/>
    </row>
    <row r="28">
      <c r="B28" s="12" t="inlineStr">
        <is>
          <t>Stop (puntos o pips)</t>
        </is>
      </c>
      <c r="C28" s="42">
        <f>CONFIG!$C$15</f>
        <v/>
      </c>
      <c r="D28" s="14" t="inlineStr">
        <is>
          <t>Desde CONFIG</t>
        </is>
      </c>
    </row>
    <row r="29">
      <c r="B29" s="12" t="inlineStr">
        <is>
          <t>VPP (USD por punto/pip, 1 lote)</t>
        </is>
      </c>
      <c r="C29" s="19">
        <f>CONFIG!$C$14</f>
        <v/>
      </c>
      <c r="D29" s="14" t="inlineStr">
        <is>
          <t>Desde CONFIG — depende del bróker</t>
        </is>
      </c>
    </row>
    <row r="30">
      <c r="B30" s="17" t="inlineStr">
        <is>
          <t>LOTE SUGERIDO</t>
        </is>
      </c>
      <c r="C30" s="21">
        <f>IF(C28*C29&gt;0,ROUNDDOWN(C23/(C28*C29),2),"—")</f>
        <v/>
      </c>
      <c r="D30" s="14" t="inlineStr">
        <is>
          <t>R$ ÷ (stop × VPP), redondeado hacia abajo a 0.01</t>
        </is>
      </c>
    </row>
    <row r="31">
      <c r="B31" s="12" t="inlineStr">
        <is>
          <t>Lote máximo seguro</t>
        </is>
      </c>
      <c r="C31" s="19">
        <f>IF(C28*C29&gt;0,IF(C22&lt;=0,0,ROUNDDOWN(C22/(C28*C29),2)),"—")</f>
        <v/>
      </c>
      <c r="D31" s="14" t="inlineStr">
        <is>
          <t>Con este lote un stop completo NO viola la cuenta. Nunca lo superes.</t>
        </is>
      </c>
    </row>
    <row r="33" ht="22" customHeight="1">
      <c r="B33" s="4" t="inlineStr">
        <is>
          <t>PROGRESO</t>
        </is>
      </c>
      <c r="C33" s="11" t="n"/>
      <c r="D33" s="11" t="n"/>
      <c r="E33" s="11" t="n"/>
      <c r="F33" s="11" t="n"/>
    </row>
    <row r="34">
      <c r="B34" s="12" t="inlineStr">
        <is>
          <t>Fase</t>
        </is>
      </c>
      <c r="C34" s="26">
        <f>CONFIG!$C$7</f>
        <v/>
      </c>
    </row>
    <row r="35">
      <c r="B35" s="12" t="inlineStr">
        <is>
          <t>Objetivo de la fase (%)</t>
        </is>
      </c>
      <c r="C35" s="24">
        <f>CONFIG!$E$33</f>
        <v/>
      </c>
    </row>
    <row r="36">
      <c r="B36" s="12" t="inlineStr">
        <is>
          <t>Balance objetivo</t>
        </is>
      </c>
      <c r="C36" s="41">
        <f>IF(C35&gt;0,$C$11*(1+C35),"—")</f>
        <v/>
      </c>
    </row>
    <row r="37">
      <c r="B37" s="17" t="inlineStr">
        <is>
          <t>Progreso al objetivo</t>
        </is>
      </c>
      <c r="C37" s="25">
        <f>IF(C35&gt;0,MAX(0,($C$12-$C$11)/(C35*$C$11)),"—")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6">
    <mergeCell ref="D11:F11"/>
    <mergeCell ref="D13:F13"/>
    <mergeCell ref="B7:F7"/>
    <mergeCell ref="B16:F16"/>
    <mergeCell ref="D17:F17"/>
    <mergeCell ref="B27:F27"/>
    <mergeCell ref="D28:F28"/>
    <mergeCell ref="B2:F2"/>
    <mergeCell ref="D12:F12"/>
    <mergeCell ref="D18:F18"/>
    <mergeCell ref="D30:F30"/>
    <mergeCell ref="D25:F25"/>
    <mergeCell ref="D24:F24"/>
    <mergeCell ref="D14:F14"/>
    <mergeCell ref="D29:F29"/>
    <mergeCell ref="D23:F23"/>
    <mergeCell ref="D20:F20"/>
    <mergeCell ref="B9:F9"/>
    <mergeCell ref="D10:F10"/>
    <mergeCell ref="D19:F19"/>
    <mergeCell ref="D31:F31"/>
    <mergeCell ref="A1:F1"/>
    <mergeCell ref="B33:F33"/>
    <mergeCell ref="D22:F22"/>
    <mergeCell ref="D21:F21"/>
    <mergeCell ref="B4:F6"/>
  </mergeCells>
  <conditionalFormatting sqref="B4:F6">
    <cfRule type="expression" priority="1" dxfId="0">
      <formula>$H$4="VERDE"</formula>
    </cfRule>
    <cfRule type="expression" priority="2" dxfId="1">
      <formula>$H$4="ÁMBAR"</formula>
    </cfRule>
    <cfRule type="expression" priority="3" dxfId="2">
      <formula>$H$4="ROJO"</formula>
    </cfRule>
  </conditionalFormatting>
  <printOptions horizontalCentered="1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2026-10-02T01:47:08Z</dcterms:created>
  <dcterms:modified xmlns:dcterms="http://purl.org/dc/terms/" xmlns:xsi="http://www.w3.org/2001/XMLSchema-instance" xsi:type="dcterms:W3CDTF">2026-10-02T01:47:09Z</dcterms:modified>
</cp:coreProperties>
</file>